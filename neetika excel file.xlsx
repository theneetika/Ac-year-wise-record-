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9c35dd35ef4e1c0/Documents/"/>
    </mc:Choice>
  </mc:AlternateContent>
  <xr:revisionPtr revIDLastSave="0" documentId="8_{B431843E-3D0C-4A01-8A28-97896B7837A2}" xr6:coauthVersionLast="47" xr6:coauthVersionMax="47" xr10:uidLastSave="{00000000-0000-0000-0000-000000000000}"/>
  <bookViews>
    <workbookView xWindow="-98" yWindow="-98" windowWidth="21795" windowHeight="12975" activeTab="1" xr2:uid="{A6B0D3DB-8419-4DA1-B872-277F366173EA}"/>
  </bookViews>
  <sheets>
    <sheet name="Sheet2" sheetId="2" r:id="rId1"/>
    <sheet name="Sheet3" sheetId="3" r:id="rId2"/>
    <sheet name="Sheet1" sheetId="1" r:id="rId3"/>
  </sheets>
  <definedNames>
    <definedName name="Slicer_Brand">#N/A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1" l="1"/>
</calcChain>
</file>

<file path=xl/sharedStrings.xml><?xml version="1.0" encoding="utf-8"?>
<sst xmlns="http://schemas.openxmlformats.org/spreadsheetml/2006/main" count="95" uniqueCount="25">
  <si>
    <t>Month</t>
  </si>
  <si>
    <t>Region</t>
  </si>
  <si>
    <t>Brand</t>
  </si>
  <si>
    <t>AC Units Sold</t>
  </si>
  <si>
    <t>Revenue (₹)</t>
  </si>
  <si>
    <t>Customer Rating</t>
  </si>
  <si>
    <t>Jan</t>
  </si>
  <si>
    <t>North</t>
  </si>
  <si>
    <t>LG</t>
  </si>
  <si>
    <t>South</t>
  </si>
  <si>
    <t>Samsung</t>
  </si>
  <si>
    <t>East</t>
  </si>
  <si>
    <t>Voltas</t>
  </si>
  <si>
    <t>West</t>
  </si>
  <si>
    <t>Daikin</t>
  </si>
  <si>
    <t>Feb</t>
  </si>
  <si>
    <t>Mar</t>
  </si>
  <si>
    <t>Apr</t>
  </si>
  <si>
    <t>May</t>
  </si>
  <si>
    <t>Cost</t>
  </si>
  <si>
    <t>Row Labels</t>
  </si>
  <si>
    <t>Grand Total</t>
  </si>
  <si>
    <t>Sum of AC Units Sold</t>
  </si>
  <si>
    <t>Count of Region</t>
  </si>
  <si>
    <t>Sum of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</si>
</sst>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[neetika excel file.xlsx]Sheet2!PivotTable1</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Sheet2!$A$4:$A$9</c:f>
              <c:strCache>
                <c:ptCount val="5"/>
                <c:pt idx="0">
                  <c:v>Jan</c:v>
                </c:pt>
                <c:pt idx="1">
                  <c:v>Feb</c:v>
                </c:pt>
                <c:pt idx="2">
                  <c:v>Mar</c:v>
                </c:pt>
                <c:pt idx="3">
                  <c:v>Apr</c:v>
                </c:pt>
                <c:pt idx="4">
                  <c:v>May</c:v>
                </c:pt>
              </c:strCache>
            </c:strRef>
          </c:cat>
          <c:val>
            <c:numRef>
              <c:f>Sheet2!$B$4:$B$9</c:f>
              <c:numCache>
                <c:formatCode>General</c:formatCode>
                <c:ptCount val="5"/>
                <c:pt idx="0">
                  <c:v>420</c:v>
                </c:pt>
                <c:pt idx="1">
                  <c:v>460</c:v>
                </c:pt>
                <c:pt idx="2">
                  <c:v>690</c:v>
                </c:pt>
                <c:pt idx="3">
                  <c:v>950</c:v>
                </c:pt>
                <c:pt idx="4">
                  <c:v>620</c:v>
                </c:pt>
              </c:numCache>
            </c:numRef>
          </c:val>
          <c:extLst>
            <c:ext xmlns:c16="http://schemas.microsoft.com/office/drawing/2014/chart" uri="{C3380CC4-5D6E-409C-BE32-E72D297353CC}">
              <c16:uniqueId val="{00000000-68A5-44DD-A472-47138001D9C0}"/>
            </c:ext>
          </c:extLst>
        </c:ser>
        <c:dLbls>
          <c:dLblPos val="outEnd"/>
          <c:showLegendKey val="0"/>
          <c:showVal val="1"/>
          <c:showCatName val="0"/>
          <c:showSerName val="0"/>
          <c:showPercent val="0"/>
          <c:showBubbleSize val="0"/>
        </c:dLbls>
        <c:gapWidth val="267"/>
        <c:overlap val="-43"/>
        <c:axId val="998316543"/>
        <c:axId val="998308863"/>
      </c:barChart>
      <c:catAx>
        <c:axId val="9983165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98308863"/>
        <c:crosses val="autoZero"/>
        <c:auto val="1"/>
        <c:lblAlgn val="ctr"/>
        <c:lblOffset val="100"/>
        <c:noMultiLvlLbl val="0"/>
      </c:catAx>
      <c:valAx>
        <c:axId val="998308863"/>
        <c:scaling>
          <c:orientation val="minMax"/>
        </c:scaling>
        <c:delete val="1"/>
        <c:axPos val="l"/>
        <c:numFmt formatCode="General" sourceLinked="1"/>
        <c:majorTickMark val="none"/>
        <c:minorTickMark val="none"/>
        <c:tickLblPos val="nextTo"/>
        <c:crossAx val="99831654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[neetika excel file.xlsx]Sheet2!PivotTable2</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Unit solds by 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Sheet2!$F$5:$F$9</c:f>
              <c:strCache>
                <c:ptCount val="4"/>
                <c:pt idx="0">
                  <c:v>Daikin</c:v>
                </c:pt>
                <c:pt idx="1">
                  <c:v>LG</c:v>
                </c:pt>
                <c:pt idx="2">
                  <c:v>Samsung</c:v>
                </c:pt>
                <c:pt idx="3">
                  <c:v>Voltas</c:v>
                </c:pt>
              </c:strCache>
            </c:strRef>
          </c:cat>
          <c:val>
            <c:numRef>
              <c:f>Sheet2!$G$5:$G$9</c:f>
              <c:numCache>
                <c:formatCode>General</c:formatCode>
                <c:ptCount val="4"/>
                <c:pt idx="0">
                  <c:v>680</c:v>
                </c:pt>
                <c:pt idx="1">
                  <c:v>1000</c:v>
                </c:pt>
                <c:pt idx="2">
                  <c:v>915</c:v>
                </c:pt>
                <c:pt idx="3">
                  <c:v>545</c:v>
                </c:pt>
              </c:numCache>
            </c:numRef>
          </c:val>
          <c:smooth val="0"/>
          <c:extLst>
            <c:ext xmlns:c16="http://schemas.microsoft.com/office/drawing/2014/chart" uri="{C3380CC4-5D6E-409C-BE32-E72D297353CC}">
              <c16:uniqueId val="{00000000-2B38-43D1-BCEF-D84885A7FC39}"/>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01846319"/>
        <c:axId val="1201841999"/>
      </c:lineChart>
      <c:catAx>
        <c:axId val="1201846319"/>
        <c:scaling>
          <c:orientation val="minMax"/>
        </c:scaling>
        <c:delete val="1"/>
        <c:axPos val="b"/>
        <c:numFmt formatCode="General" sourceLinked="1"/>
        <c:majorTickMark val="none"/>
        <c:minorTickMark val="none"/>
        <c:tickLblPos val="nextTo"/>
        <c:crossAx val="1201841999"/>
        <c:crosses val="autoZero"/>
        <c:auto val="1"/>
        <c:lblAlgn val="ctr"/>
        <c:lblOffset val="100"/>
        <c:noMultiLvlLbl val="0"/>
      </c:catAx>
      <c:valAx>
        <c:axId val="1201841999"/>
        <c:scaling>
          <c:orientation val="minMax"/>
        </c:scaling>
        <c:delete val="1"/>
        <c:axPos val="l"/>
        <c:numFmt formatCode="General" sourceLinked="1"/>
        <c:majorTickMark val="none"/>
        <c:minorTickMark val="none"/>
        <c:tickLblPos val="nextTo"/>
        <c:crossAx val="120184631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[neetika excel file.xlsx]Sheet2!PivotTable3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sold</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9"/>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s>
    <c:plotArea>
      <c:layout/>
      <c:pieChart>
        <c:varyColors val="1"/>
        <c:ser>
          <c:idx val="0"/>
          <c:order val="0"/>
          <c:tx>
            <c:strRef>
              <c:f>Sheet2!$D$17</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29F-47AA-824E-A440C8C4DB32}"/>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29F-47AA-824E-A440C8C4DB32}"/>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29F-47AA-824E-A440C8C4DB32}"/>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29F-47AA-824E-A440C8C4DB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Sheet2!$C$18:$C$22</c:f>
              <c:strCache>
                <c:ptCount val="4"/>
                <c:pt idx="0">
                  <c:v>Daikin</c:v>
                </c:pt>
                <c:pt idx="1">
                  <c:v>LG</c:v>
                </c:pt>
                <c:pt idx="2">
                  <c:v>Samsung</c:v>
                </c:pt>
                <c:pt idx="3">
                  <c:v>Voltas</c:v>
                </c:pt>
              </c:strCache>
            </c:strRef>
          </c:cat>
          <c:val>
            <c:numRef>
              <c:f>Sheet2!$D$18:$D$22</c:f>
              <c:numCache>
                <c:formatCode>General</c:formatCode>
                <c:ptCount val="4"/>
                <c:pt idx="0">
                  <c:v>4</c:v>
                </c:pt>
                <c:pt idx="1">
                  <c:v>5</c:v>
                </c:pt>
                <c:pt idx="2">
                  <c:v>5</c:v>
                </c:pt>
                <c:pt idx="3">
                  <c:v>4</c:v>
                </c:pt>
              </c:numCache>
            </c:numRef>
          </c:val>
          <c:extLst>
            <c:ext xmlns:c16="http://schemas.microsoft.com/office/drawing/2014/chart" uri="{C3380CC4-5D6E-409C-BE32-E72D297353CC}">
              <c16:uniqueId val="{00000008-029F-47AA-824E-A440C8C4DB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[neetika excel file.xlsx]Sheet2!PivotTable4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Sheet2!$H$19:$H$23</c:f>
              <c:strCache>
                <c:ptCount val="4"/>
                <c:pt idx="0">
                  <c:v>Daikin</c:v>
                </c:pt>
                <c:pt idx="1">
                  <c:v>LG</c:v>
                </c:pt>
                <c:pt idx="2">
                  <c:v>Samsung</c:v>
                </c:pt>
                <c:pt idx="3">
                  <c:v>Voltas</c:v>
                </c:pt>
              </c:strCache>
            </c:strRef>
          </c:cat>
          <c:val>
            <c:numRef>
              <c:f>Sheet2!$I$19:$I$23</c:f>
              <c:numCache>
                <c:formatCode>General</c:formatCode>
                <c:ptCount val="4"/>
                <c:pt idx="0">
                  <c:v>19.100000000000001</c:v>
                </c:pt>
                <c:pt idx="1">
                  <c:v>23.2</c:v>
                </c:pt>
                <c:pt idx="2">
                  <c:v>18</c:v>
                </c:pt>
                <c:pt idx="3">
                  <c:v>17.200000000000003</c:v>
                </c:pt>
              </c:numCache>
            </c:numRef>
          </c:val>
          <c:extLst>
            <c:ext xmlns:c16="http://schemas.microsoft.com/office/drawing/2014/chart" uri="{C3380CC4-5D6E-409C-BE32-E72D297353CC}">
              <c16:uniqueId val="{00000000-62CF-4B53-BED6-7627B6ADCE64}"/>
            </c:ext>
          </c:extLst>
        </c:ser>
        <c:dLbls>
          <c:showLegendKey val="0"/>
          <c:showVal val="0"/>
          <c:showCatName val="0"/>
          <c:showSerName val="0"/>
          <c:showPercent val="0"/>
          <c:showBubbleSize val="0"/>
        </c:dLbls>
        <c:gapWidth val="115"/>
        <c:overlap val="-20"/>
        <c:axId val="1201839119"/>
        <c:axId val="1201832879"/>
      </c:barChart>
      <c:catAx>
        <c:axId val="1201839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832879"/>
        <c:crosses val="autoZero"/>
        <c:auto val="1"/>
        <c:lblAlgn val="ctr"/>
        <c:lblOffset val="100"/>
        <c:noMultiLvlLbl val="0"/>
      </c:catAx>
      <c:valAx>
        <c:axId val="12018328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83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66676</xdr:rowOff>
    </xdr:from>
    <xdr:to>
      <xdr:col>11</xdr:col>
      <xdr:colOff>23813</xdr:colOff>
      <xdr:row>15</xdr:row>
      <xdr:rowOff>95251</xdr:rowOff>
    </xdr:to>
    <xdr:graphicFrame macro="">
      <xdr:nvGraphicFramePr>
        <xdr:cNvPr id="2" name="Chart 1">
          <a:extLst>
            <a:ext uri="{FF2B5EF4-FFF2-40B4-BE49-F238E27FC236}">
              <a16:creationId xmlns:a16="http://schemas.microsoft.com/office/drawing/2014/main" id="{B923802B-6629-459F-8F74-CDF4D9039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233363</xdr:colOff>
      <xdr:row>0</xdr:row>
      <xdr:rowOff>42862</xdr:rowOff>
    </xdr:from>
    <xdr:to>
      <xdr:col>20</xdr:col>
      <xdr:colOff>200025</xdr:colOff>
      <xdr:row>15</xdr:row>
      <xdr:rowOff>71437</xdr:rowOff>
    </xdr:to>
    <xdr:graphicFrame macro="">
      <xdr:nvGraphicFramePr>
        <xdr:cNvPr id="3" name="Chart 2">
          <a:extLst>
            <a:ext uri="{FF2B5EF4-FFF2-40B4-BE49-F238E27FC236}">
              <a16:creationId xmlns:a16="http://schemas.microsoft.com/office/drawing/2014/main" id="{791AA2AC-9F1B-465E-8DFD-35D23F18E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16</xdr:row>
      <xdr:rowOff>42863</xdr:rowOff>
    </xdr:from>
    <xdr:to>
      <xdr:col>11</xdr:col>
      <xdr:colOff>104775</xdr:colOff>
      <xdr:row>29</xdr:row>
      <xdr:rowOff>157163</xdr:rowOff>
    </xdr:to>
    <xdr:graphicFrame macro="">
      <xdr:nvGraphicFramePr>
        <xdr:cNvPr id="4" name="Chart 3">
          <a:extLst>
            <a:ext uri="{FF2B5EF4-FFF2-40B4-BE49-F238E27FC236}">
              <a16:creationId xmlns:a16="http://schemas.microsoft.com/office/drawing/2014/main" id="{5C6C8CEB-1CD9-4F2B-B8AE-2F3E1F2F6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557212</xdr:colOff>
      <xdr:row>16</xdr:row>
      <xdr:rowOff>52388</xdr:rowOff>
    </xdr:from>
    <xdr:to>
      <xdr:col>19</xdr:col>
      <xdr:colOff>595312</xdr:colOff>
      <xdr:row>31</xdr:row>
      <xdr:rowOff>80963</xdr:rowOff>
    </xdr:to>
    <xdr:graphicFrame macro="">
      <xdr:nvGraphicFramePr>
        <xdr:cNvPr id="5" name="Chart 4">
          <a:extLst>
            <a:ext uri="{FF2B5EF4-FFF2-40B4-BE49-F238E27FC236}">
              <a16:creationId xmlns:a16="http://schemas.microsoft.com/office/drawing/2014/main" id="{31FAB348-014C-4CA0-8D82-FBFCED60F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300037</xdr:colOff>
      <xdr:row>5</xdr:row>
      <xdr:rowOff>19051</xdr:rowOff>
    </xdr:from>
    <xdr:to>
      <xdr:col>3</xdr:col>
      <xdr:colOff>185737</xdr:colOff>
      <xdr:row>14</xdr:row>
      <xdr:rowOff>80964</xdr:rowOff>
    </xdr:to>
    <mc:AlternateContent xmlns:mc="http://schemas.openxmlformats.org/markup-compatibility/2006">
      <mc:Choice xmlns:a14="http://schemas.microsoft.com/office/drawing/2010/main" Requires="a14">
        <xdr:graphicFrame macro="">
          <xdr:nvGraphicFramePr>
            <xdr:cNvPr id="11" name="Brand">
              <a:extLst>
                <a:ext uri="{FF2B5EF4-FFF2-40B4-BE49-F238E27FC236}">
                  <a16:creationId xmlns:a16="http://schemas.microsoft.com/office/drawing/2014/main" id="{2A583FFF-CD8C-04BD-16F6-4381AA8F52B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300037" y="923926"/>
              <a:ext cx="1828800" cy="169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eet Dhull" refreshedDate="46190.471246412038" createdVersion="8" refreshedVersion="8" minRefreshableVersion="3" recordCount="18" xr:uid="{EBE3D749-4D7F-49C3-92AB-59EC79572E51}">
  <cacheSource type="worksheet">
    <worksheetSource ref="A1:F19" sheet="Sheet1"/>
  </cacheSource>
  <cacheFields count="6">
    <cacheField name="Month" numFmtId="0">
      <sharedItems count="5">
        <s v="Jan"/>
        <s v="Feb"/>
        <s v="Mar"/>
        <s v="Apr"/>
        <s v="May"/>
      </sharedItems>
    </cacheField>
    <cacheField name="Region" numFmtId="0">
      <sharedItems count="4">
        <s v="North"/>
        <s v="South"/>
        <s v="East"/>
        <s v="West"/>
      </sharedItems>
    </cacheField>
    <cacheField name="Brand" numFmtId="0">
      <sharedItems count="4">
        <s v="LG"/>
        <s v="Samsung"/>
        <s v="Voltas"/>
        <s v="Daikin"/>
      </sharedItems>
    </cacheField>
    <cacheField name="AC Units Sold" numFmtId="0">
      <sharedItems containsSemiMixedTypes="0" containsString="0" containsNumber="1" containsInteger="1" minValue="90" maxValue="320" count="17">
        <n v="120"/>
        <n v="100"/>
        <n v="90"/>
        <n v="110"/>
        <n v="130"/>
        <n v="115"/>
        <n v="95"/>
        <n v="180"/>
        <n v="170"/>
        <n v="150"/>
        <n v="190"/>
        <n v="250"/>
        <n v="230"/>
        <n v="210"/>
        <n v="260"/>
        <n v="320"/>
        <n v="300"/>
      </sharedItems>
    </cacheField>
    <cacheField name="Revenue (₹)" numFmtId="0">
      <sharedItems containsString="0" containsBlank="1" containsNumber="1" containsInteger="1" minValue="2520000" maxValue="9600000" count="17">
        <n v="3600000"/>
        <n v="3000000"/>
        <n v="2520000"/>
        <n v="3850000"/>
        <n v="3900000"/>
        <n v="3450000"/>
        <n v="2660000"/>
        <n v="4200000"/>
        <n v="5400000"/>
        <n v="5100000"/>
        <n v="6650000"/>
        <n v="7500000"/>
        <n v="6900000"/>
        <n v="5880000"/>
        <n v="9100000"/>
        <n v="9600000"/>
        <m/>
      </sharedItems>
    </cacheField>
    <cacheField name="Customer Rating" numFmtId="0">
      <sharedItems containsString="0" containsBlank="1" containsNumber="1" minValue="4.2" maxValue="4.8" count="8">
        <n v="4.5"/>
        <n v="4.4000000000000004"/>
        <n v="4.2"/>
        <n v="4.7"/>
        <n v="4.5999999999999996"/>
        <n v="4.3"/>
        <n v="4.8"/>
        <m/>
      </sharedItems>
    </cacheField>
  </cacheFields>
  <extLst>
    <ext xmlns:x14="http://schemas.microsoft.com/office/spreadsheetml/2009/9/main" uri="{725AE2AE-9491-48be-B2B4-4EB974FC3084}">
      <x14:pivotCacheDefinition pivotCacheId="761314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x v="0"/>
    <x v="0"/>
  </r>
  <r>
    <x v="0"/>
    <x v="1"/>
    <x v="1"/>
    <x v="1"/>
    <x v="1"/>
    <x v="1"/>
  </r>
  <r>
    <x v="0"/>
    <x v="2"/>
    <x v="2"/>
    <x v="2"/>
    <x v="2"/>
    <x v="2"/>
  </r>
  <r>
    <x v="0"/>
    <x v="3"/>
    <x v="3"/>
    <x v="3"/>
    <x v="3"/>
    <x v="3"/>
  </r>
  <r>
    <x v="1"/>
    <x v="0"/>
    <x v="0"/>
    <x v="4"/>
    <x v="4"/>
    <x v="4"/>
  </r>
  <r>
    <x v="1"/>
    <x v="1"/>
    <x v="1"/>
    <x v="5"/>
    <x v="5"/>
    <x v="0"/>
  </r>
  <r>
    <x v="1"/>
    <x v="2"/>
    <x v="2"/>
    <x v="6"/>
    <x v="6"/>
    <x v="5"/>
  </r>
  <r>
    <x v="1"/>
    <x v="3"/>
    <x v="3"/>
    <x v="0"/>
    <x v="7"/>
    <x v="6"/>
  </r>
  <r>
    <x v="2"/>
    <x v="0"/>
    <x v="0"/>
    <x v="7"/>
    <x v="8"/>
    <x v="4"/>
  </r>
  <r>
    <x v="2"/>
    <x v="1"/>
    <x v="1"/>
    <x v="8"/>
    <x v="9"/>
    <x v="0"/>
  </r>
  <r>
    <x v="2"/>
    <x v="2"/>
    <x v="2"/>
    <x v="9"/>
    <x v="7"/>
    <x v="5"/>
  </r>
  <r>
    <x v="2"/>
    <x v="3"/>
    <x v="3"/>
    <x v="10"/>
    <x v="10"/>
    <x v="6"/>
  </r>
  <r>
    <x v="3"/>
    <x v="0"/>
    <x v="0"/>
    <x v="11"/>
    <x v="11"/>
    <x v="3"/>
  </r>
  <r>
    <x v="3"/>
    <x v="1"/>
    <x v="1"/>
    <x v="12"/>
    <x v="12"/>
    <x v="4"/>
  </r>
  <r>
    <x v="3"/>
    <x v="2"/>
    <x v="2"/>
    <x v="13"/>
    <x v="13"/>
    <x v="1"/>
  </r>
  <r>
    <x v="3"/>
    <x v="3"/>
    <x v="3"/>
    <x v="14"/>
    <x v="14"/>
    <x v="6"/>
  </r>
  <r>
    <x v="4"/>
    <x v="0"/>
    <x v="0"/>
    <x v="15"/>
    <x v="15"/>
    <x v="6"/>
  </r>
  <r>
    <x v="4"/>
    <x v="1"/>
    <x v="1"/>
    <x v="16"/>
    <x v="16"/>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B9C70-7037-4AAA-BA9F-4C2B6ABB1583}"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8:I23" firstHeaderRow="1" firstDataRow="1" firstDataCol="1"/>
  <pivotFields count="6">
    <pivotField showAll="0">
      <items count="6">
        <item x="0"/>
        <item x="1"/>
        <item x="2"/>
        <item x="3"/>
        <item x="4"/>
        <item t="default"/>
      </items>
    </pivotField>
    <pivotField showAll="0"/>
    <pivotField axis="axisRow" showAll="0">
      <items count="5">
        <item x="3"/>
        <item x="0"/>
        <item x="1"/>
        <item x="2"/>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Customer Rating"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FB743-8167-4A9E-BEF2-697B6355832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7:D22" firstHeaderRow="1" firstDataRow="1" firstDataCol="1"/>
  <pivotFields count="6">
    <pivotField showAll="0">
      <items count="6">
        <item x="0"/>
        <item x="1"/>
        <item x="2"/>
        <item x="3"/>
        <item x="4"/>
        <item t="default"/>
      </items>
    </pivotField>
    <pivotField dataField="1" showAll="0"/>
    <pivotField axis="axisRow" showAll="0">
      <items count="5">
        <item x="3"/>
        <item x="0"/>
        <item x="1"/>
        <item x="2"/>
        <item t="default"/>
      </items>
    </pivotField>
    <pivotField showAll="0"/>
    <pivotField showAll="0"/>
    <pivotField showAll="0"/>
  </pivotFields>
  <rowFields count="1">
    <field x="2"/>
  </rowFields>
  <rowItems count="5">
    <i>
      <x/>
    </i>
    <i>
      <x v="1"/>
    </i>
    <i>
      <x v="2"/>
    </i>
    <i>
      <x v="3"/>
    </i>
    <i t="grand">
      <x/>
    </i>
  </rowItems>
  <colItems count="1">
    <i/>
  </colItems>
  <dataFields count="1">
    <dataField name="Count of Region"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1BC92-B4DE-49A1-A541-73A82895AEB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G9" firstHeaderRow="1" firstDataRow="1" firstDataCol="1"/>
  <pivotFields count="6">
    <pivotField showAll="0">
      <items count="6">
        <item x="0"/>
        <item x="1"/>
        <item x="2"/>
        <item x="3"/>
        <item x="4"/>
        <item t="default"/>
      </items>
    </pivotField>
    <pivotField showAll="0"/>
    <pivotField axis="axisRow" showAll="0">
      <items count="5">
        <item x="3"/>
        <item x="0"/>
        <item x="1"/>
        <item x="2"/>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AC Units Sold" fld="3"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3DF7F-44E3-452D-9A48-961A31C0B12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6">
    <pivotField axis="axisRow" showAll="0">
      <items count="6">
        <item x="0"/>
        <item x="1"/>
        <item x="2"/>
        <item x="3"/>
        <item x="4"/>
        <item t="default"/>
      </items>
    </pivotField>
    <pivotField showAll="0">
      <items count="5">
        <item x="2"/>
        <item x="0"/>
        <item x="1"/>
        <item x="3"/>
        <item t="default"/>
      </items>
    </pivotField>
    <pivotField showAll="0">
      <items count="5">
        <item x="3"/>
        <item x="0"/>
        <item x="1"/>
        <item x="2"/>
        <item t="default"/>
      </items>
    </pivotField>
    <pivotField dataField="1" showAll="0">
      <items count="18">
        <item x="2"/>
        <item x="6"/>
        <item x="1"/>
        <item x="3"/>
        <item x="5"/>
        <item x="0"/>
        <item x="4"/>
        <item x="9"/>
        <item x="8"/>
        <item x="7"/>
        <item x="10"/>
        <item x="13"/>
        <item x="12"/>
        <item x="11"/>
        <item x="14"/>
        <item x="16"/>
        <item x="15"/>
        <item t="default"/>
      </items>
    </pivotField>
    <pivotField showAll="0">
      <items count="18">
        <item x="2"/>
        <item x="6"/>
        <item x="1"/>
        <item x="5"/>
        <item x="0"/>
        <item x="3"/>
        <item x="4"/>
        <item x="7"/>
        <item x="9"/>
        <item x="8"/>
        <item x="13"/>
        <item x="10"/>
        <item x="12"/>
        <item x="11"/>
        <item x="14"/>
        <item x="15"/>
        <item x="16"/>
        <item t="default"/>
      </items>
    </pivotField>
    <pivotField showAll="0">
      <items count="9">
        <item x="2"/>
        <item x="5"/>
        <item x="1"/>
        <item x="0"/>
        <item x="4"/>
        <item x="3"/>
        <item x="6"/>
        <item x="7"/>
        <item t="default"/>
      </items>
    </pivotField>
  </pivotFields>
  <rowFields count="1">
    <field x="0"/>
  </rowFields>
  <rowItems count="6">
    <i>
      <x/>
    </i>
    <i>
      <x v="1"/>
    </i>
    <i>
      <x v="2"/>
    </i>
    <i>
      <x v="3"/>
    </i>
    <i>
      <x v="4"/>
    </i>
    <i t="grand">
      <x/>
    </i>
  </rowItems>
  <colItems count="1">
    <i/>
  </colItems>
  <dataFields count="1">
    <dataField name="Sum of AC Units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F1BCEB9-10C3-418B-A5B5-8628966E1298}" sourceName="Brand">
  <pivotTables>
    <pivotTable tabId="2" name="PivotTable1"/>
    <pivotTable tabId="2" name="PivotTable2"/>
    <pivotTable tabId="2" name="PivotTable3"/>
    <pivotTable tabId="2" name="PivotTable4"/>
  </pivotTables>
  <data>
    <tabular pivotCacheId="76131468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A6941B38-811B-4C37-B8B6-B2CBC20150CA}" cache="Slicer_Brand" caption="Bran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B4FB-539D-43DB-A777-E95D0B0E0FDB}">
  <dimension ref="A3:I23"/>
  <sheetViews>
    <sheetView workbookViewId="0">
      <selection activeCell="I21" sqref="I21"/>
    </sheetView>
  </sheetViews>
  <sheetFormatPr defaultRowHeight="14.25" x14ac:dyDescent="0.45"/>
  <cols>
    <col min="1" max="1" width="12.06640625" bestFit="1" customWidth="1"/>
    <col min="2" max="2" width="18" bestFit="1" customWidth="1"/>
    <col min="3" max="3" width="12.06640625" bestFit="1" customWidth="1"/>
    <col min="4" max="4" width="13.86328125" bestFit="1" customWidth="1"/>
    <col min="6" max="6" width="12.06640625" bestFit="1" customWidth="1"/>
    <col min="7" max="7" width="18" bestFit="1" customWidth="1"/>
    <col min="8" max="8" width="12.06640625" bestFit="1" customWidth="1"/>
    <col min="9" max="9" width="20.53125" bestFit="1" customWidth="1"/>
  </cols>
  <sheetData>
    <row r="3" spans="1:7" x14ac:dyDescent="0.45">
      <c r="A3" s="4" t="s">
        <v>20</v>
      </c>
      <c r="B3" t="s">
        <v>22</v>
      </c>
    </row>
    <row r="4" spans="1:7" x14ac:dyDescent="0.45">
      <c r="A4" s="5" t="s">
        <v>6</v>
      </c>
      <c r="B4" s="6">
        <v>420</v>
      </c>
      <c r="F4" s="4" t="s">
        <v>20</v>
      </c>
      <c r="G4" t="s">
        <v>22</v>
      </c>
    </row>
    <row r="5" spans="1:7" x14ac:dyDescent="0.45">
      <c r="A5" s="5" t="s">
        <v>15</v>
      </c>
      <c r="B5" s="6">
        <v>460</v>
      </c>
      <c r="F5" s="5" t="s">
        <v>14</v>
      </c>
      <c r="G5" s="6">
        <v>680</v>
      </c>
    </row>
    <row r="6" spans="1:7" x14ac:dyDescent="0.45">
      <c r="A6" s="5" t="s">
        <v>16</v>
      </c>
      <c r="B6" s="6">
        <v>690</v>
      </c>
      <c r="F6" s="5" t="s">
        <v>8</v>
      </c>
      <c r="G6" s="6">
        <v>1000</v>
      </c>
    </row>
    <row r="7" spans="1:7" x14ac:dyDescent="0.45">
      <c r="A7" s="5" t="s">
        <v>17</v>
      </c>
      <c r="B7" s="6">
        <v>950</v>
      </c>
      <c r="F7" s="5" t="s">
        <v>10</v>
      </c>
      <c r="G7" s="6">
        <v>915</v>
      </c>
    </row>
    <row r="8" spans="1:7" x14ac:dyDescent="0.45">
      <c r="A8" s="5" t="s">
        <v>18</v>
      </c>
      <c r="B8" s="6">
        <v>620</v>
      </c>
      <c r="F8" s="5" t="s">
        <v>12</v>
      </c>
      <c r="G8" s="6">
        <v>545</v>
      </c>
    </row>
    <row r="9" spans="1:7" x14ac:dyDescent="0.45">
      <c r="A9" s="5" t="s">
        <v>21</v>
      </c>
      <c r="B9" s="6">
        <v>3140</v>
      </c>
      <c r="F9" s="5" t="s">
        <v>21</v>
      </c>
      <c r="G9" s="6">
        <v>3140</v>
      </c>
    </row>
    <row r="17" spans="3:9" x14ac:dyDescent="0.45">
      <c r="C17" s="4" t="s">
        <v>20</v>
      </c>
      <c r="D17" t="s">
        <v>23</v>
      </c>
    </row>
    <row r="18" spans="3:9" x14ac:dyDescent="0.45">
      <c r="C18" s="5" t="s">
        <v>14</v>
      </c>
      <c r="D18" s="6">
        <v>4</v>
      </c>
      <c r="H18" s="4" t="s">
        <v>20</v>
      </c>
      <c r="I18" t="s">
        <v>24</v>
      </c>
    </row>
    <row r="19" spans="3:9" x14ac:dyDescent="0.45">
      <c r="C19" s="5" t="s">
        <v>8</v>
      </c>
      <c r="D19" s="6">
        <v>5</v>
      </c>
      <c r="H19" s="5" t="s">
        <v>14</v>
      </c>
      <c r="I19" s="6">
        <v>19.100000000000001</v>
      </c>
    </row>
    <row r="20" spans="3:9" x14ac:dyDescent="0.45">
      <c r="C20" s="5" t="s">
        <v>10</v>
      </c>
      <c r="D20" s="6">
        <v>5</v>
      </c>
      <c r="H20" s="5" t="s">
        <v>8</v>
      </c>
      <c r="I20" s="6">
        <v>23.2</v>
      </c>
    </row>
    <row r="21" spans="3:9" x14ac:dyDescent="0.45">
      <c r="C21" s="5" t="s">
        <v>12</v>
      </c>
      <c r="D21" s="6">
        <v>4</v>
      </c>
      <c r="H21" s="5" t="s">
        <v>10</v>
      </c>
      <c r="I21" s="6">
        <v>18</v>
      </c>
    </row>
    <row r="22" spans="3:9" x14ac:dyDescent="0.45">
      <c r="C22" s="5" t="s">
        <v>21</v>
      </c>
      <c r="D22" s="6">
        <v>18</v>
      </c>
      <c r="H22" s="5" t="s">
        <v>12</v>
      </c>
      <c r="I22" s="6">
        <v>17.200000000000003</v>
      </c>
    </row>
    <row r="23" spans="3:9" x14ac:dyDescent="0.45">
      <c r="H23" s="5" t="s">
        <v>21</v>
      </c>
      <c r="I23" s="6">
        <v>77.5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59F-81F9-4CB8-A402-4CD04537AB9F}">
  <dimension ref="A1"/>
  <sheetViews>
    <sheetView tabSelected="1" workbookViewId="0">
      <selection activeCell="C22" sqref="C2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C5FF-ECF6-4598-A120-0A0DF8493E06}">
  <dimension ref="A1:M19"/>
  <sheetViews>
    <sheetView workbookViewId="0">
      <selection activeCell="L4" sqref="L4:N9"/>
    </sheetView>
  </sheetViews>
  <sheetFormatPr defaultRowHeight="14.25" x14ac:dyDescent="0.45"/>
  <sheetData>
    <row r="1" spans="1:13" ht="28.5" x14ac:dyDescent="0.45">
      <c r="A1" s="1" t="s">
        <v>0</v>
      </c>
      <c r="B1" s="1" t="s">
        <v>1</v>
      </c>
      <c r="C1" s="1" t="s">
        <v>2</v>
      </c>
      <c r="D1" s="1" t="s">
        <v>3</v>
      </c>
      <c r="E1" s="1" t="s">
        <v>4</v>
      </c>
      <c r="F1" s="1" t="s">
        <v>5</v>
      </c>
    </row>
    <row r="2" spans="1:13" x14ac:dyDescent="0.45">
      <c r="A2" s="2" t="s">
        <v>6</v>
      </c>
      <c r="B2" s="2" t="s">
        <v>7</v>
      </c>
      <c r="C2" s="2" t="s">
        <v>8</v>
      </c>
      <c r="D2" s="2">
        <v>120</v>
      </c>
      <c r="E2" s="2">
        <v>3600000</v>
      </c>
      <c r="F2" s="2">
        <v>4.5</v>
      </c>
    </row>
    <row r="3" spans="1:13" x14ac:dyDescent="0.45">
      <c r="A3" s="2" t="s">
        <v>6</v>
      </c>
      <c r="B3" s="2" t="s">
        <v>9</v>
      </c>
      <c r="C3" s="2" t="s">
        <v>10</v>
      </c>
      <c r="D3" s="2">
        <v>100</v>
      </c>
      <c r="E3" s="2">
        <v>3000000</v>
      </c>
      <c r="F3" s="2">
        <v>4.4000000000000004</v>
      </c>
    </row>
    <row r="4" spans="1:13" x14ac:dyDescent="0.45">
      <c r="A4" s="2" t="s">
        <v>6</v>
      </c>
      <c r="B4" s="2" t="s">
        <v>11</v>
      </c>
      <c r="C4" s="2" t="s">
        <v>12</v>
      </c>
      <c r="D4" s="2">
        <v>90</v>
      </c>
      <c r="E4" s="2">
        <v>2520000</v>
      </c>
      <c r="F4" s="2">
        <v>4.2</v>
      </c>
    </row>
    <row r="5" spans="1:13" x14ac:dyDescent="0.45">
      <c r="A5" s="2" t="s">
        <v>6</v>
      </c>
      <c r="B5" s="2" t="s">
        <v>13</v>
      </c>
      <c r="C5" s="2" t="s">
        <v>14</v>
      </c>
      <c r="D5" s="2">
        <v>110</v>
      </c>
      <c r="E5" s="2">
        <v>3850000</v>
      </c>
      <c r="F5" s="2">
        <v>4.7</v>
      </c>
      <c r="L5" s="3" t="s">
        <v>2</v>
      </c>
      <c r="M5" s="3" t="s">
        <v>19</v>
      </c>
    </row>
    <row r="6" spans="1:13" x14ac:dyDescent="0.45">
      <c r="A6" s="2" t="s">
        <v>15</v>
      </c>
      <c r="B6" s="2" t="s">
        <v>7</v>
      </c>
      <c r="C6" s="2" t="s">
        <v>8</v>
      </c>
      <c r="D6" s="2">
        <v>130</v>
      </c>
      <c r="E6" s="2">
        <v>3900000</v>
      </c>
      <c r="F6" s="2">
        <v>4.5999999999999996</v>
      </c>
      <c r="L6" t="s">
        <v>8</v>
      </c>
      <c r="M6" t="e">
        <f>VLOOKUP(L6,$A$1:$F$19,6,0)</f>
        <v>#N/A</v>
      </c>
    </row>
    <row r="7" spans="1:13" x14ac:dyDescent="0.45">
      <c r="A7" s="2" t="s">
        <v>15</v>
      </c>
      <c r="B7" s="2" t="s">
        <v>9</v>
      </c>
      <c r="C7" s="2" t="s">
        <v>10</v>
      </c>
      <c r="D7" s="2">
        <v>115</v>
      </c>
      <c r="E7" s="2">
        <v>3450000</v>
      </c>
      <c r="F7" s="2">
        <v>4.5</v>
      </c>
      <c r="L7" t="s">
        <v>10</v>
      </c>
    </row>
    <row r="8" spans="1:13" x14ac:dyDescent="0.45">
      <c r="A8" s="2" t="s">
        <v>15</v>
      </c>
      <c r="B8" s="2" t="s">
        <v>11</v>
      </c>
      <c r="C8" s="2" t="s">
        <v>12</v>
      </c>
      <c r="D8" s="2">
        <v>95</v>
      </c>
      <c r="E8" s="2">
        <v>2660000</v>
      </c>
      <c r="F8" s="2">
        <v>4.3</v>
      </c>
      <c r="L8" t="s">
        <v>12</v>
      </c>
    </row>
    <row r="9" spans="1:13" x14ac:dyDescent="0.45">
      <c r="A9" s="2" t="s">
        <v>15</v>
      </c>
      <c r="B9" s="2" t="s">
        <v>13</v>
      </c>
      <c r="C9" s="2" t="s">
        <v>14</v>
      </c>
      <c r="D9" s="2">
        <v>120</v>
      </c>
      <c r="E9" s="2">
        <v>4200000</v>
      </c>
      <c r="F9" s="2">
        <v>4.8</v>
      </c>
      <c r="L9" t="s">
        <v>14</v>
      </c>
    </row>
    <row r="10" spans="1:13" x14ac:dyDescent="0.45">
      <c r="A10" s="2" t="s">
        <v>16</v>
      </c>
      <c r="B10" s="2" t="s">
        <v>7</v>
      </c>
      <c r="C10" s="2" t="s">
        <v>8</v>
      </c>
      <c r="D10" s="2">
        <v>180</v>
      </c>
      <c r="E10" s="2">
        <v>5400000</v>
      </c>
      <c r="F10" s="2">
        <v>4.5999999999999996</v>
      </c>
    </row>
    <row r="11" spans="1:13" x14ac:dyDescent="0.45">
      <c r="A11" s="2" t="s">
        <v>16</v>
      </c>
      <c r="B11" s="2" t="s">
        <v>9</v>
      </c>
      <c r="C11" s="2" t="s">
        <v>10</v>
      </c>
      <c r="D11" s="2">
        <v>170</v>
      </c>
      <c r="E11" s="2">
        <v>5100000</v>
      </c>
      <c r="F11" s="2">
        <v>4.5</v>
      </c>
    </row>
    <row r="12" spans="1:13" x14ac:dyDescent="0.45">
      <c r="A12" s="2" t="s">
        <v>16</v>
      </c>
      <c r="B12" s="2" t="s">
        <v>11</v>
      </c>
      <c r="C12" s="2" t="s">
        <v>12</v>
      </c>
      <c r="D12" s="2">
        <v>150</v>
      </c>
      <c r="E12" s="2">
        <v>4200000</v>
      </c>
      <c r="F12" s="2">
        <v>4.3</v>
      </c>
    </row>
    <row r="13" spans="1:13" x14ac:dyDescent="0.45">
      <c r="A13" s="2" t="s">
        <v>16</v>
      </c>
      <c r="B13" s="2" t="s">
        <v>13</v>
      </c>
      <c r="C13" s="2" t="s">
        <v>14</v>
      </c>
      <c r="D13" s="2">
        <v>190</v>
      </c>
      <c r="E13" s="2">
        <v>6650000</v>
      </c>
      <c r="F13" s="2">
        <v>4.8</v>
      </c>
    </row>
    <row r="14" spans="1:13" x14ac:dyDescent="0.45">
      <c r="A14" s="2" t="s">
        <v>17</v>
      </c>
      <c r="B14" s="2" t="s">
        <v>7</v>
      </c>
      <c r="C14" s="2" t="s">
        <v>8</v>
      </c>
      <c r="D14" s="2">
        <v>250</v>
      </c>
      <c r="E14" s="2">
        <v>7500000</v>
      </c>
      <c r="F14" s="2">
        <v>4.7</v>
      </c>
    </row>
    <row r="15" spans="1:13" x14ac:dyDescent="0.45">
      <c r="A15" s="2" t="s">
        <v>17</v>
      </c>
      <c r="B15" s="2" t="s">
        <v>9</v>
      </c>
      <c r="C15" s="2" t="s">
        <v>10</v>
      </c>
      <c r="D15" s="2">
        <v>230</v>
      </c>
      <c r="E15" s="2">
        <v>6900000</v>
      </c>
      <c r="F15" s="2">
        <v>4.5999999999999996</v>
      </c>
    </row>
    <row r="16" spans="1:13" x14ac:dyDescent="0.45">
      <c r="A16" s="2" t="s">
        <v>17</v>
      </c>
      <c r="B16" s="2" t="s">
        <v>11</v>
      </c>
      <c r="C16" s="2" t="s">
        <v>12</v>
      </c>
      <c r="D16" s="2">
        <v>210</v>
      </c>
      <c r="E16" s="2">
        <v>5880000</v>
      </c>
      <c r="F16" s="2">
        <v>4.4000000000000004</v>
      </c>
    </row>
    <row r="17" spans="1:6" x14ac:dyDescent="0.45">
      <c r="A17" s="2" t="s">
        <v>17</v>
      </c>
      <c r="B17" s="2" t="s">
        <v>13</v>
      </c>
      <c r="C17" s="2" t="s">
        <v>14</v>
      </c>
      <c r="D17" s="2">
        <v>260</v>
      </c>
      <c r="E17" s="2">
        <v>9100000</v>
      </c>
      <c r="F17" s="2">
        <v>4.8</v>
      </c>
    </row>
    <row r="18" spans="1:6" x14ac:dyDescent="0.45">
      <c r="A18" s="2" t="s">
        <v>18</v>
      </c>
      <c r="B18" s="2" t="s">
        <v>7</v>
      </c>
      <c r="C18" s="2" t="s">
        <v>8</v>
      </c>
      <c r="D18" s="2">
        <v>320</v>
      </c>
      <c r="E18" s="2">
        <v>9600000</v>
      </c>
      <c r="F18" s="2">
        <v>4.8</v>
      </c>
    </row>
    <row r="19" spans="1:6" x14ac:dyDescent="0.45">
      <c r="A19" s="2" t="s">
        <v>18</v>
      </c>
      <c r="B19" s="2" t="s">
        <v>9</v>
      </c>
      <c r="C19" s="2" t="s">
        <v>10</v>
      </c>
      <c r="D19" s="2">
        <v>300</v>
      </c>
      <c r="E19" s="2"/>
      <c r="F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Manjeet Dhull</dc:creator>
  <cp:lastModifiedBy>Manjeet Dhull</cp:lastModifiedBy>
  <dcterms:created xsi:type="dcterms:W3CDTF">2026-06-17T05:45:04Z</dcterms:created>
  <dcterms:modified xsi:type="dcterms:W3CDTF">2026-06-17T06:06:46Z</dcterms:modified>
</cp:coreProperties>
</file>